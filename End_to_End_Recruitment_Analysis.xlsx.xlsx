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8949D23C-AE16-4843-8945-90853DB97058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Candidate_Data" sheetId="1" r:id="rId1"/>
    <sheet name="Recruitmnt_Funnel" sheetId="2" r:id="rId2"/>
    <sheet name="HR_Metrics" sheetId="3" r:id="rId3"/>
    <sheet name="Source_Effectiveness" sheetId="4" r:id="rId4"/>
    <sheet name="Dashboard" sheetId="5" r:id="rId5"/>
    <sheet name="Insigh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B4" i="5"/>
  <c r="B3" i="5"/>
  <c r="C5" i="4"/>
  <c r="C4" i="4"/>
  <c r="C3" i="4"/>
  <c r="C2" i="4"/>
  <c r="B5" i="4"/>
  <c r="D5" i="4" s="1"/>
  <c r="B4" i="4"/>
  <c r="D4" i="4" s="1"/>
  <c r="B3" i="4"/>
  <c r="D3" i="4" s="1"/>
  <c r="B2" i="4"/>
  <c r="D2" i="4" s="1"/>
  <c r="B6" i="3"/>
  <c r="B5" i="3"/>
  <c r="B4" i="3"/>
  <c r="B3" i="3"/>
  <c r="B6" i="2"/>
  <c r="B5" i="2"/>
  <c r="B4" i="2"/>
  <c r="B3" i="2"/>
  <c r="B2" i="2"/>
  <c r="B2" i="3"/>
</calcChain>
</file>

<file path=xl/sharedStrings.xml><?xml version="1.0" encoding="utf-8"?>
<sst xmlns="http://schemas.openxmlformats.org/spreadsheetml/2006/main" count="286" uniqueCount="85">
  <si>
    <t>Candidate_ID</t>
  </si>
  <si>
    <t>Job_Role</t>
  </si>
  <si>
    <t>Department</t>
  </si>
  <si>
    <t>Hiring_Source</t>
  </si>
  <si>
    <t>Application_Date</t>
  </si>
  <si>
    <t>Screening_Status</t>
  </si>
  <si>
    <t>Interview_Status</t>
  </si>
  <si>
    <t>Offer_Status</t>
  </si>
  <si>
    <t>Joining_Status</t>
  </si>
  <si>
    <t>Days_To_Hire</t>
  </si>
  <si>
    <t>Hiring_Cost (₹)</t>
  </si>
  <si>
    <t>C001</t>
  </si>
  <si>
    <t>HR Executive</t>
  </si>
  <si>
    <t>HR</t>
  </si>
  <si>
    <t>Job Portal</t>
  </si>
  <si>
    <t>Selected</t>
  </si>
  <si>
    <t>Cleared</t>
  </si>
  <si>
    <t>Offered</t>
  </si>
  <si>
    <t>Joined</t>
  </si>
  <si>
    <t>C002</t>
  </si>
  <si>
    <t>Employee Referral</t>
  </si>
  <si>
    <t>C003</t>
  </si>
  <si>
    <t>Sales Executive</t>
  </si>
  <si>
    <t>Sales</t>
  </si>
  <si>
    <t>Not Cleared</t>
  </si>
  <si>
    <t>Not Offered</t>
  </si>
  <si>
    <t>Dropped</t>
  </si>
  <si>
    <t>C004</t>
  </si>
  <si>
    <t>Analyst</t>
  </si>
  <si>
    <t>Finance</t>
  </si>
  <si>
    <t>LinkedIn</t>
  </si>
  <si>
    <t>C005</t>
  </si>
  <si>
    <t>Consultancy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</si>
  <si>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</si>
  <si>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</si>
  <si>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</si>
  <si>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</si>
  <si>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</si>
  <si>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</si>
  <si>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</si>
  <si>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</si>
  <si>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</si>
  <si>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</si>
  <si>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</si>
  <si>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</si>
  <si>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</si>
  <si>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</si>
  <si>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</si>
  <si>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</si>
  <si>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</si>
  <si>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</si>
  <si>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</si>
  <si>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</si>
  <si>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</si>
  <si>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</si>
  <si>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</si>
  <si>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</si>
  <si>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</si>
  <si>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Stage</t>
  </si>
  <si>
    <t>Candidate_Count</t>
  </si>
  <si>
    <t>Applied</t>
  </si>
  <si>
    <t>Screened</t>
  </si>
  <si>
    <t>Interviewed</t>
  </si>
  <si>
    <t>Metric</t>
  </si>
  <si>
    <t>Value</t>
  </si>
  <si>
    <t>Total Candidates Applied</t>
  </si>
  <si>
    <t xml:space="preserve">Total Candidates Joined </t>
  </si>
  <si>
    <t>Offer Acceptance Rate</t>
  </si>
  <si>
    <t xml:space="preserve">Average Time to Hire </t>
  </si>
  <si>
    <t xml:space="preserve">Cost per Hire </t>
  </si>
  <si>
    <t>Total-Hires</t>
  </si>
  <si>
    <t>Avg_Time_to_Hire</t>
  </si>
  <si>
    <t>Cost_Per_Hire</t>
  </si>
  <si>
    <t xml:space="preserve"> </t>
  </si>
  <si>
    <t>Recruitment Performance Summary</t>
  </si>
  <si>
    <t>Total Candidates Joined</t>
  </si>
  <si>
    <t>Offer Acceptance Rate (%)</t>
  </si>
  <si>
    <t>Average Time to Hire (Days)</t>
  </si>
  <si>
    <t>Cost per Hire (₹)</t>
  </si>
  <si>
    <t>Key Recruitment Insights &amp; Recommendations</t>
  </si>
  <si>
    <t>Employee referrals showed the highest joining rate with the lowest cost per hire, making them the most efficient hiring source.</t>
  </si>
  <si>
    <t>Job portals generated a high number of applications but had a lower conversion rate to joining, indicating a need for better screening.</t>
  </si>
  <si>
    <t>Most candidate drop-offs occurred after the interview stage, suggesting expectation mismatch or delayed communication.</t>
  </si>
  <si>
    <t>Consultancy hiring had the highest cost and longest time-to-hire, indicating it should be used selectively for critical roles.</t>
  </si>
  <si>
    <t>Improving interview turnaround time and prioritising employee referrals can significantly enhance recruitment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</si>
</sst>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Funnel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Recruitmnt_Funnel!$B$1</c:f>
              <c:strCache>
                <c:ptCount val="1"/>
                <c:pt idx="0">
                  <c:v>Candidate_Count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Recruitmnt_Funnel!$A$2:$A$6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Recruitmnt_Funnel!$B$2:$B$6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25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0-4E64-86D6-CA86CDF1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707720"/>
        <c:axId val="950709768"/>
      </c:barChart>
      <c:catAx>
        <c:axId val="95070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09768"/>
        <c:crosses val="autoZero"/>
        <c:auto val="1"/>
        <c:lblAlgn val="ctr"/>
        <c:lblOffset val="100"/>
        <c:noMultiLvlLbl val="0"/>
      </c:catAx>
      <c:valAx>
        <c:axId val="95070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0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Hires by Recruitment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Source_Effectiveness!$B$1</c:f>
              <c:strCache>
                <c:ptCount val="1"/>
                <c:pt idx="0">
                  <c:v>Total-Hires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Source_Effectiveness!$A$2:$A$5</c:f>
              <c:strCache>
                <c:ptCount val="4"/>
                <c:pt idx="0">
                  <c:v>Job Portal</c:v>
                </c:pt>
                <c:pt idx="1">
                  <c:v>Employee Referral</c:v>
                </c:pt>
                <c:pt idx="2">
                  <c:v>Consultancy</c:v>
                </c:pt>
                <c:pt idx="3">
                  <c:v>LinkedIn</c:v>
                </c:pt>
              </c:strCache>
            </c:strRef>
          </c:cat>
          <c:val>
            <c:numRef>
              <c:f>Source_Effectiveness!$B$2:$B$5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A-4237-B0B7-CC64D97DDAEE}"/>
            </c:ext>
          </c:extLst>
        </c:ser>
        <c:ser>
          <c:idx val="1"/>
          <c:order val="1"/>
          <c:tx>
            <c:strRef>
              <c:f>Source_Effectiveness!$C$1</c:f>
              <c:strCache>
                <c:ptCount val="1"/>
                <c:pt idx="0">
                  <c:v>Avg_Time_to_Hire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Source_Effectiveness!$A$2:$A$5</c:f>
              <c:strCache>
                <c:ptCount val="4"/>
                <c:pt idx="0">
                  <c:v>Job Portal</c:v>
                </c:pt>
                <c:pt idx="1">
                  <c:v>Employee Referral</c:v>
                </c:pt>
                <c:pt idx="2">
                  <c:v>Consultancy</c:v>
                </c:pt>
                <c:pt idx="3">
                  <c:v>LinkedIn</c:v>
                </c:pt>
              </c:strCache>
            </c:strRef>
          </c:cat>
          <c:val>
            <c:numRef>
              <c:f>Source_Effectiveness!$C$2:$C$5</c:f>
              <c:numCache>
                <c:formatCode>General</c:formatCode>
                <c:ptCount val="4"/>
                <c:pt idx="0">
                  <c:v>27.2</c:v>
                </c:pt>
                <c:pt idx="1">
                  <c:v>16.5</c:v>
                </c:pt>
                <c:pt idx="2">
                  <c:v>41.75</c:v>
                </c:pt>
                <c:pt idx="3">
                  <c:v>22.75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A-4237-B0B7-CC64D97DDAEE}"/>
            </c:ext>
          </c:extLst>
        </c:ser>
        <c:ser>
          <c:idx val="2"/>
          <c:order val="2"/>
          <c:tx>
            <c:strRef>
              <c:f>Source_Effectiveness!$D$1</c:f>
              <c:strCache>
                <c:ptCount val="1"/>
                <c:pt idx="0">
                  <c:v>Cost_Per_Hire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Source_Effectiveness!$A$2:$A$5</c:f>
              <c:strCache>
                <c:ptCount val="4"/>
                <c:pt idx="0">
                  <c:v>Job Portal</c:v>
                </c:pt>
                <c:pt idx="1">
                  <c:v>Employee Referral</c:v>
                </c:pt>
                <c:pt idx="2">
                  <c:v>Consultancy</c:v>
                </c:pt>
                <c:pt idx="3">
                  <c:v>LinkedIn</c:v>
                </c:pt>
              </c:strCache>
            </c:strRef>
          </c:cat>
          <c:val>
            <c:numRef>
              <c:f>Source_Effectiveness!$D$2:$D$5</c:f>
              <c:numCache>
                <c:formatCode>General</c:formatCode>
                <c:ptCount val="4"/>
                <c:pt idx="0">
                  <c:v>8240</c:v>
                </c:pt>
                <c:pt idx="1">
                  <c:v>2512.5</c:v>
                </c:pt>
                <c:pt idx="2">
                  <c:v>23250</c:v>
                </c:pt>
                <c:pt idx="3">
                  <c:v>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A-4237-B0B7-CC64D97D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485127"/>
        <c:axId val="404487175"/>
      </c:barChart>
      <c:catAx>
        <c:axId val="404485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87175"/>
        <c:crosses val="autoZero"/>
        <c:auto val="1"/>
        <c:lblAlgn val="ctr"/>
        <c:lblOffset val="100"/>
        <c:noMultiLvlLbl val="0"/>
      </c:catAx>
      <c:valAx>
        <c:axId val="404487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8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 Hire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Source_Effectiveness!$D$1</c:f>
              <c:strCache>
                <c:ptCount val="1"/>
                <c:pt idx="0">
                  <c:v>Cost_Per_Hire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Source_Effectiveness!$A$2:$A$5</c:f>
              <c:strCache>
                <c:ptCount val="4"/>
                <c:pt idx="0">
                  <c:v>Job Portal</c:v>
                </c:pt>
                <c:pt idx="1">
                  <c:v>Employee Referral</c:v>
                </c:pt>
                <c:pt idx="2">
                  <c:v>Consultancy</c:v>
                </c:pt>
                <c:pt idx="3">
                  <c:v>LinkedIn</c:v>
                </c:pt>
              </c:strCache>
            </c:strRef>
          </c:cat>
          <c:val>
            <c:numRef>
              <c:f>Source_Effectiveness!$D$2:$D$5</c:f>
              <c:numCache>
                <c:formatCode>General</c:formatCode>
                <c:ptCount val="4"/>
                <c:pt idx="0">
                  <c:v>8240</c:v>
                </c:pt>
                <c:pt idx="1">
                  <c:v>2512.5</c:v>
                </c:pt>
                <c:pt idx="2">
                  <c:v>23250</c:v>
                </c:pt>
                <c:pt idx="3">
                  <c:v>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8-46A7-A921-833A3C24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4624519"/>
        <c:axId val="554626567"/>
      </c:barChart>
      <c:catAx>
        <c:axId val="554624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26567"/>
        <c:crosses val="autoZero"/>
        <c:auto val="1"/>
        <c:lblAlgn val="ctr"/>
        <c:lblOffset val="100"/>
        <c:noMultiLvlLbl val="0"/>
      </c:catAx>
      <c:valAx>
        <c:axId val="55462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2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142875</xdr:rowOff>
    </xdr:from>
    <xdr:to>
      <xdr:col>8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6DB47-C662-614B-EBB1-6A2CB0E07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171450</xdr:rowOff>
    </xdr:from>
    <xdr:to>
      <xdr:col>2</xdr:col>
      <xdr:colOff>590550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15207B-F481-694C-E2BA-2EC5654A42A9}"/>
            </a:ext>
            <a:ext uri="{147F2762-F138-4A5C-976F-8EAC2B608ADB}">
              <a16:predDERef xmlns:a16="http://schemas.microsoft.com/office/drawing/2014/main" pred="{35C6DB47-C662-614B-EBB1-6A2CB0E07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38100</xdr:rowOff>
    </xdr:from>
    <xdr:to>
      <xdr:col>3</xdr:col>
      <xdr:colOff>9525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42F8FF-649B-8077-636A-195A11847638}"/>
            </a:ext>
            <a:ext uri="{147F2762-F138-4A5C-976F-8EAC2B608ADB}">
              <a16:predDERef xmlns:a16="http://schemas.microsoft.com/office/drawing/2014/main" pred="{2615207B-F481-694C-E2BA-2EC5654A4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A14" workbookViewId="0">
      <selection activeCell="A27" sqref="A27:K31"/>
    </sheetView>
  </sheetViews>
  <sheetFormatPr defaultRowHeight="15"/>
  <cols>
    <col min="1" max="1" width="14.85546875" customWidth="1"/>
    <col min="2" max="2" width="14.140625" bestFit="1" customWidth="1"/>
    <col min="3" max="3" width="11.5703125" bestFit="1" customWidth="1"/>
    <col min="4" max="4" width="16.42578125" bestFit="1" customWidth="1"/>
    <col min="5" max="5" width="16.140625" bestFit="1" customWidth="1"/>
    <col min="6" max="6" width="16.28515625" bestFit="1" customWidth="1"/>
    <col min="7" max="7" width="15.7109375" bestFit="1" customWidth="1"/>
    <col min="8" max="8" width="12" bestFit="1" customWidth="1"/>
    <col min="9" max="9" width="13.5703125" bestFit="1" customWidth="1"/>
    <col min="10" max="10" width="12.7109375" bestFit="1" customWidth="1"/>
    <col min="11" max="11" width="14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3">
        <v>45870</v>
      </c>
      <c r="F2" t="s">
        <v>15</v>
      </c>
      <c r="G2" t="s">
        <v>16</v>
      </c>
      <c r="H2" t="s">
        <v>17</v>
      </c>
      <c r="I2" t="s">
        <v>18</v>
      </c>
      <c r="J2">
        <v>28</v>
      </c>
      <c r="K2">
        <v>8000</v>
      </c>
    </row>
    <row r="3" spans="1:11">
      <c r="A3" t="s">
        <v>19</v>
      </c>
      <c r="B3" t="s">
        <v>12</v>
      </c>
      <c r="C3" t="s">
        <v>13</v>
      </c>
      <c r="D3" t="s">
        <v>20</v>
      </c>
      <c r="E3" s="3">
        <v>45871</v>
      </c>
      <c r="F3" t="s">
        <v>15</v>
      </c>
      <c r="G3" t="s">
        <v>16</v>
      </c>
      <c r="H3" t="s">
        <v>17</v>
      </c>
      <c r="I3" t="s">
        <v>18</v>
      </c>
      <c r="J3">
        <v>18</v>
      </c>
      <c r="K3">
        <v>3000</v>
      </c>
    </row>
    <row r="4" spans="1:11">
      <c r="A4" t="s">
        <v>21</v>
      </c>
      <c r="B4" t="s">
        <v>22</v>
      </c>
      <c r="C4" t="s">
        <v>23</v>
      </c>
      <c r="D4" t="s">
        <v>14</v>
      </c>
      <c r="E4" s="3">
        <v>45872</v>
      </c>
      <c r="F4" t="s">
        <v>15</v>
      </c>
      <c r="G4" t="s">
        <v>24</v>
      </c>
      <c r="H4" t="s">
        <v>25</v>
      </c>
      <c r="I4" t="s">
        <v>26</v>
      </c>
      <c r="J4">
        <v>12</v>
      </c>
      <c r="K4">
        <v>6000</v>
      </c>
    </row>
    <row r="5" spans="1:11">
      <c r="A5" t="s">
        <v>27</v>
      </c>
      <c r="B5" t="s">
        <v>28</v>
      </c>
      <c r="C5" t="s">
        <v>29</v>
      </c>
      <c r="D5" t="s">
        <v>30</v>
      </c>
      <c r="E5" s="3">
        <v>45873</v>
      </c>
      <c r="F5" t="s">
        <v>15</v>
      </c>
      <c r="G5" t="s">
        <v>16</v>
      </c>
      <c r="H5" t="s">
        <v>17</v>
      </c>
      <c r="I5" t="s">
        <v>18</v>
      </c>
      <c r="J5">
        <v>24</v>
      </c>
      <c r="K5">
        <v>5000</v>
      </c>
    </row>
    <row r="6" spans="1:11">
      <c r="A6" t="s">
        <v>31</v>
      </c>
      <c r="B6" t="s">
        <v>12</v>
      </c>
      <c r="C6" t="s">
        <v>13</v>
      </c>
      <c r="D6" t="s">
        <v>32</v>
      </c>
      <c r="E6" s="3">
        <v>45874</v>
      </c>
      <c r="F6" t="s">
        <v>15</v>
      </c>
      <c r="G6" t="s">
        <v>16</v>
      </c>
      <c r="H6" t="s">
        <v>17</v>
      </c>
      <c r="I6" t="s">
        <v>26</v>
      </c>
      <c r="J6">
        <v>35</v>
      </c>
      <c r="K6">
        <v>20000</v>
      </c>
    </row>
    <row r="7" spans="1:11">
      <c r="A7" t="s">
        <v>33</v>
      </c>
      <c r="B7" t="s">
        <v>22</v>
      </c>
      <c r="C7" t="s">
        <v>23</v>
      </c>
      <c r="D7" t="s">
        <v>20</v>
      </c>
      <c r="E7" s="3">
        <v>45875</v>
      </c>
      <c r="F7" t="s">
        <v>15</v>
      </c>
      <c r="G7" t="s">
        <v>16</v>
      </c>
      <c r="H7" t="s">
        <v>17</v>
      </c>
      <c r="I7" t="s">
        <v>18</v>
      </c>
      <c r="J7">
        <v>16</v>
      </c>
      <c r="K7">
        <v>2500</v>
      </c>
    </row>
    <row r="8" spans="1:11">
      <c r="A8" t="s">
        <v>34</v>
      </c>
      <c r="B8" t="s">
        <v>28</v>
      </c>
      <c r="C8" t="s">
        <v>29</v>
      </c>
      <c r="D8" t="s">
        <v>14</v>
      </c>
      <c r="E8" s="3">
        <v>45876</v>
      </c>
      <c r="F8" t="s">
        <v>15</v>
      </c>
      <c r="G8" t="s">
        <v>24</v>
      </c>
      <c r="H8" t="s">
        <v>25</v>
      </c>
      <c r="I8" t="s">
        <v>26</v>
      </c>
      <c r="J8">
        <v>14</v>
      </c>
      <c r="K8">
        <v>7000</v>
      </c>
    </row>
    <row r="9" spans="1:11">
      <c r="A9" t="s">
        <v>35</v>
      </c>
      <c r="B9" t="s">
        <v>12</v>
      </c>
      <c r="C9" t="s">
        <v>13</v>
      </c>
      <c r="D9" t="s">
        <v>30</v>
      </c>
      <c r="E9" s="3">
        <v>45877</v>
      </c>
      <c r="F9" t="s">
        <v>15</v>
      </c>
      <c r="G9" t="s">
        <v>16</v>
      </c>
      <c r="H9" t="s">
        <v>17</v>
      </c>
      <c r="I9" t="s">
        <v>18</v>
      </c>
      <c r="J9">
        <v>22</v>
      </c>
      <c r="K9">
        <v>4500</v>
      </c>
    </row>
    <row r="10" spans="1:11">
      <c r="A10" t="s">
        <v>36</v>
      </c>
      <c r="B10" t="s">
        <v>22</v>
      </c>
      <c r="C10" t="s">
        <v>23</v>
      </c>
      <c r="D10" t="s">
        <v>32</v>
      </c>
      <c r="E10" s="3">
        <v>45878</v>
      </c>
      <c r="F10" t="s">
        <v>15</v>
      </c>
      <c r="G10" t="s">
        <v>16</v>
      </c>
      <c r="H10" t="s">
        <v>17</v>
      </c>
      <c r="I10" t="s">
        <v>18</v>
      </c>
      <c r="J10">
        <v>40</v>
      </c>
      <c r="K10">
        <v>22000</v>
      </c>
    </row>
    <row r="11" spans="1:11">
      <c r="A11" t="s">
        <v>37</v>
      </c>
      <c r="B11" t="s">
        <v>28</v>
      </c>
      <c r="C11" t="s">
        <v>29</v>
      </c>
      <c r="D11" t="s">
        <v>20</v>
      </c>
      <c r="E11" s="3">
        <v>45879</v>
      </c>
      <c r="F11" t="s">
        <v>15</v>
      </c>
      <c r="G11" t="s">
        <v>16</v>
      </c>
      <c r="H11" t="s">
        <v>17</v>
      </c>
      <c r="I11" t="s">
        <v>18</v>
      </c>
      <c r="J11">
        <v>15</v>
      </c>
      <c r="K11">
        <v>3000</v>
      </c>
    </row>
    <row r="12" spans="1:11">
      <c r="A12" t="s">
        <v>38</v>
      </c>
      <c r="B12" t="s">
        <v>12</v>
      </c>
      <c r="C12" t="s">
        <v>13</v>
      </c>
      <c r="D12" t="s">
        <v>14</v>
      </c>
      <c r="E12" s="3">
        <v>45880</v>
      </c>
      <c r="F12" t="s">
        <v>15</v>
      </c>
      <c r="G12" t="s">
        <v>16</v>
      </c>
      <c r="H12" t="s">
        <v>17</v>
      </c>
      <c r="I12" t="s">
        <v>26</v>
      </c>
      <c r="J12">
        <v>30</v>
      </c>
      <c r="K12">
        <v>9000</v>
      </c>
    </row>
    <row r="13" spans="1:11">
      <c r="A13" t="s">
        <v>39</v>
      </c>
      <c r="B13" t="s">
        <v>22</v>
      </c>
      <c r="C13" t="s">
        <v>23</v>
      </c>
      <c r="D13" t="s">
        <v>30</v>
      </c>
      <c r="E13" s="3">
        <v>45881</v>
      </c>
      <c r="F13" t="s">
        <v>15</v>
      </c>
      <c r="G13" t="s">
        <v>24</v>
      </c>
      <c r="H13" t="s">
        <v>25</v>
      </c>
      <c r="I13" t="s">
        <v>26</v>
      </c>
      <c r="J13">
        <v>13</v>
      </c>
      <c r="K13">
        <v>5000</v>
      </c>
    </row>
    <row r="14" spans="1:11">
      <c r="A14" t="s">
        <v>40</v>
      </c>
      <c r="B14" t="s">
        <v>28</v>
      </c>
      <c r="C14" t="s">
        <v>29</v>
      </c>
      <c r="D14" t="s">
        <v>32</v>
      </c>
      <c r="E14" s="3">
        <v>45882</v>
      </c>
      <c r="F14" t="s">
        <v>15</v>
      </c>
      <c r="G14" t="s">
        <v>16</v>
      </c>
      <c r="H14" t="s">
        <v>17</v>
      </c>
      <c r="I14" t="s">
        <v>18</v>
      </c>
      <c r="J14">
        <v>42</v>
      </c>
      <c r="K14">
        <v>24000</v>
      </c>
    </row>
    <row r="15" spans="1:11">
      <c r="A15" t="s">
        <v>41</v>
      </c>
      <c r="B15" t="s">
        <v>12</v>
      </c>
      <c r="C15" t="s">
        <v>13</v>
      </c>
      <c r="D15" t="s">
        <v>20</v>
      </c>
      <c r="E15" s="3">
        <v>45883</v>
      </c>
      <c r="F15" t="s">
        <v>15</v>
      </c>
      <c r="G15" t="s">
        <v>16</v>
      </c>
      <c r="H15" t="s">
        <v>17</v>
      </c>
      <c r="I15" t="s">
        <v>18</v>
      </c>
      <c r="J15">
        <v>17</v>
      </c>
      <c r="K15">
        <v>2800</v>
      </c>
    </row>
    <row r="16" spans="1:11">
      <c r="A16" t="s">
        <v>42</v>
      </c>
      <c r="B16" t="s">
        <v>22</v>
      </c>
      <c r="C16" t="s">
        <v>23</v>
      </c>
      <c r="D16" t="s">
        <v>14</v>
      </c>
      <c r="E16" s="3">
        <v>45884</v>
      </c>
      <c r="F16" t="s">
        <v>15</v>
      </c>
      <c r="G16" t="s">
        <v>16</v>
      </c>
      <c r="H16" t="s">
        <v>17</v>
      </c>
      <c r="I16" t="s">
        <v>18</v>
      </c>
      <c r="J16">
        <v>26</v>
      </c>
      <c r="K16">
        <v>7500</v>
      </c>
    </row>
    <row r="17" spans="1:11">
      <c r="A17" t="s">
        <v>43</v>
      </c>
      <c r="B17" t="s">
        <v>12</v>
      </c>
      <c r="C17" t="s">
        <v>13</v>
      </c>
      <c r="D17" t="s">
        <v>14</v>
      </c>
      <c r="E17" s="3">
        <v>45885</v>
      </c>
      <c r="F17" t="s">
        <v>15</v>
      </c>
      <c r="G17" t="s">
        <v>16</v>
      </c>
      <c r="H17" t="s">
        <v>17</v>
      </c>
      <c r="I17" t="s">
        <v>18</v>
      </c>
      <c r="J17">
        <v>27</v>
      </c>
      <c r="K17">
        <v>8500</v>
      </c>
    </row>
    <row r="18" spans="1:11">
      <c r="A18" t="s">
        <v>44</v>
      </c>
      <c r="B18" t="s">
        <v>22</v>
      </c>
      <c r="C18" t="s">
        <v>23</v>
      </c>
      <c r="D18" t="s">
        <v>20</v>
      </c>
      <c r="E18" s="3">
        <v>45886</v>
      </c>
      <c r="F18" t="s">
        <v>15</v>
      </c>
      <c r="G18" t="s">
        <v>16</v>
      </c>
      <c r="H18" t="s">
        <v>17</v>
      </c>
      <c r="I18" t="s">
        <v>18</v>
      </c>
      <c r="J18">
        <v>16</v>
      </c>
      <c r="K18">
        <v>2800</v>
      </c>
    </row>
    <row r="19" spans="1:11">
      <c r="A19" t="s">
        <v>45</v>
      </c>
      <c r="B19" t="s">
        <v>28</v>
      </c>
      <c r="C19" t="s">
        <v>29</v>
      </c>
      <c r="D19" t="s">
        <v>30</v>
      </c>
      <c r="E19" s="3">
        <v>45887</v>
      </c>
      <c r="F19" t="s">
        <v>15</v>
      </c>
      <c r="G19" t="s">
        <v>24</v>
      </c>
      <c r="H19" t="s">
        <v>25</v>
      </c>
      <c r="I19" t="s">
        <v>26</v>
      </c>
      <c r="J19">
        <v>14</v>
      </c>
      <c r="K19">
        <v>5200</v>
      </c>
    </row>
    <row r="20" spans="1:11">
      <c r="A20" t="s">
        <v>46</v>
      </c>
      <c r="B20" t="s">
        <v>12</v>
      </c>
      <c r="C20" t="s">
        <v>13</v>
      </c>
      <c r="D20" t="s">
        <v>32</v>
      </c>
      <c r="E20" s="3">
        <v>45888</v>
      </c>
      <c r="F20" t="s">
        <v>15</v>
      </c>
      <c r="G20" t="s">
        <v>16</v>
      </c>
      <c r="H20" t="s">
        <v>17</v>
      </c>
      <c r="I20" t="s">
        <v>26</v>
      </c>
      <c r="J20">
        <v>38</v>
      </c>
      <c r="K20">
        <v>21000</v>
      </c>
    </row>
    <row r="21" spans="1:11">
      <c r="A21" t="s">
        <v>47</v>
      </c>
      <c r="B21" t="s">
        <v>22</v>
      </c>
      <c r="C21" t="s">
        <v>23</v>
      </c>
      <c r="D21" t="s">
        <v>14</v>
      </c>
      <c r="E21" s="3">
        <v>45889</v>
      </c>
      <c r="F21" t="s">
        <v>15</v>
      </c>
      <c r="G21" t="s">
        <v>16</v>
      </c>
      <c r="H21" t="s">
        <v>17</v>
      </c>
      <c r="I21" t="s">
        <v>18</v>
      </c>
      <c r="J21">
        <v>29</v>
      </c>
      <c r="K21">
        <v>9000</v>
      </c>
    </row>
    <row r="22" spans="1:11">
      <c r="A22" t="s">
        <v>48</v>
      </c>
      <c r="B22" t="s">
        <v>28</v>
      </c>
      <c r="C22" t="s">
        <v>29</v>
      </c>
      <c r="D22" t="s">
        <v>20</v>
      </c>
      <c r="E22" s="3">
        <v>45890</v>
      </c>
      <c r="F22" t="s">
        <v>15</v>
      </c>
      <c r="G22" t="s">
        <v>16</v>
      </c>
      <c r="H22" t="s">
        <v>17</v>
      </c>
      <c r="I22" t="s">
        <v>18</v>
      </c>
      <c r="J22">
        <v>15</v>
      </c>
      <c r="K22">
        <v>3000</v>
      </c>
    </row>
    <row r="23" spans="1:11">
      <c r="A23" t="s">
        <v>49</v>
      </c>
      <c r="B23" t="s">
        <v>12</v>
      </c>
      <c r="C23" t="s">
        <v>13</v>
      </c>
      <c r="D23" t="s">
        <v>30</v>
      </c>
      <c r="E23" s="3">
        <v>45891</v>
      </c>
      <c r="F23" t="s">
        <v>15</v>
      </c>
      <c r="G23" t="s">
        <v>16</v>
      </c>
      <c r="H23" t="s">
        <v>17</v>
      </c>
      <c r="I23" t="s">
        <v>18</v>
      </c>
      <c r="J23">
        <v>23</v>
      </c>
      <c r="K23">
        <v>4800</v>
      </c>
    </row>
    <row r="24" spans="1:11">
      <c r="A24" t="s">
        <v>50</v>
      </c>
      <c r="B24" t="s">
        <v>22</v>
      </c>
      <c r="C24" t="s">
        <v>23</v>
      </c>
      <c r="D24" t="s">
        <v>32</v>
      </c>
      <c r="E24" s="3">
        <v>45892</v>
      </c>
      <c r="F24" t="s">
        <v>15</v>
      </c>
      <c r="G24" t="s">
        <v>16</v>
      </c>
      <c r="H24" t="s">
        <v>17</v>
      </c>
      <c r="I24" t="s">
        <v>18</v>
      </c>
      <c r="J24">
        <v>41</v>
      </c>
      <c r="K24">
        <v>23000</v>
      </c>
    </row>
    <row r="25" spans="1:11">
      <c r="A25" t="s">
        <v>51</v>
      </c>
      <c r="B25" t="s">
        <v>28</v>
      </c>
      <c r="C25" t="s">
        <v>29</v>
      </c>
      <c r="D25" t="s">
        <v>14</v>
      </c>
      <c r="E25" s="3">
        <v>45893</v>
      </c>
      <c r="F25" t="s">
        <v>15</v>
      </c>
      <c r="G25" t="s">
        <v>24</v>
      </c>
      <c r="H25" t="s">
        <v>25</v>
      </c>
      <c r="I25" t="s">
        <v>26</v>
      </c>
      <c r="J25">
        <v>13</v>
      </c>
      <c r="K25">
        <v>6500</v>
      </c>
    </row>
    <row r="26" spans="1:11">
      <c r="A26" t="s">
        <v>52</v>
      </c>
      <c r="B26" t="s">
        <v>12</v>
      </c>
      <c r="C26" t="s">
        <v>13</v>
      </c>
      <c r="D26" t="s">
        <v>20</v>
      </c>
      <c r="E26" s="3">
        <v>45894</v>
      </c>
      <c r="F26" t="s">
        <v>15</v>
      </c>
      <c r="G26" t="s">
        <v>16</v>
      </c>
      <c r="H26" t="s">
        <v>17</v>
      </c>
      <c r="I26" t="s">
        <v>18</v>
      </c>
      <c r="J26">
        <v>17</v>
      </c>
    </row>
    <row r="27" spans="1:11">
      <c r="A27" t="s">
        <v>53</v>
      </c>
      <c r="B27" t="s">
        <v>22</v>
      </c>
      <c r="C27" t="s">
        <v>23</v>
      </c>
      <c r="D27" t="s">
        <v>30</v>
      </c>
      <c r="E27" s="3">
        <v>45895</v>
      </c>
      <c r="F27" t="s">
        <v>15</v>
      </c>
      <c r="G27" t="s">
        <v>16</v>
      </c>
      <c r="H27" t="s">
        <v>17</v>
      </c>
      <c r="I27" t="s">
        <v>26</v>
      </c>
      <c r="J27">
        <v>24</v>
      </c>
      <c r="K27">
        <v>5500</v>
      </c>
    </row>
    <row r="28" spans="1:11">
      <c r="A28" t="s">
        <v>54</v>
      </c>
      <c r="B28" t="s">
        <v>28</v>
      </c>
      <c r="C28" t="s">
        <v>29</v>
      </c>
      <c r="D28" t="s">
        <v>32</v>
      </c>
      <c r="E28" s="3">
        <v>45896</v>
      </c>
      <c r="F28" t="s">
        <v>15</v>
      </c>
      <c r="G28" t="s">
        <v>16</v>
      </c>
      <c r="H28" t="s">
        <v>17</v>
      </c>
      <c r="I28" t="s">
        <v>18</v>
      </c>
      <c r="J28">
        <v>44</v>
      </c>
      <c r="K28">
        <v>24000</v>
      </c>
    </row>
    <row r="29" spans="1:11">
      <c r="A29" t="s">
        <v>55</v>
      </c>
      <c r="B29" t="s">
        <v>12</v>
      </c>
      <c r="C29" t="s">
        <v>13</v>
      </c>
      <c r="D29" t="s">
        <v>14</v>
      </c>
      <c r="E29" s="3">
        <v>45897</v>
      </c>
      <c r="F29" t="s">
        <v>15</v>
      </c>
      <c r="G29" t="s">
        <v>16</v>
      </c>
      <c r="H29" t="s">
        <v>17</v>
      </c>
      <c r="I29" t="s">
        <v>18</v>
      </c>
      <c r="J29">
        <v>26</v>
      </c>
      <c r="K29">
        <v>8200</v>
      </c>
    </row>
    <row r="30" spans="1:11">
      <c r="A30" t="s">
        <v>56</v>
      </c>
      <c r="B30" t="s">
        <v>22</v>
      </c>
      <c r="C30" t="s">
        <v>23</v>
      </c>
      <c r="D30" t="s">
        <v>20</v>
      </c>
      <c r="E30" s="3">
        <v>45898</v>
      </c>
      <c r="F30" t="s">
        <v>15</v>
      </c>
      <c r="G30" t="s">
        <v>16</v>
      </c>
      <c r="H30" t="s">
        <v>17</v>
      </c>
      <c r="I30" t="s">
        <v>18</v>
      </c>
      <c r="J30">
        <v>18</v>
      </c>
      <c r="K30">
        <v>3000</v>
      </c>
    </row>
    <row r="31" spans="1:11">
      <c r="A31" t="s">
        <v>57</v>
      </c>
      <c r="B31" t="s">
        <v>28</v>
      </c>
      <c r="C31" t="s">
        <v>29</v>
      </c>
      <c r="D31" t="s">
        <v>30</v>
      </c>
      <c r="E31" s="3">
        <v>45899</v>
      </c>
      <c r="F31" t="s">
        <v>15</v>
      </c>
      <c r="G31" t="s">
        <v>16</v>
      </c>
      <c r="H31" t="s">
        <v>17</v>
      </c>
      <c r="I31" t="s">
        <v>18</v>
      </c>
      <c r="J31">
        <v>22</v>
      </c>
      <c r="K3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289B-1E5E-43F1-97C9-B2C8BD3517F8}">
  <dimension ref="A1:B6"/>
  <sheetViews>
    <sheetView workbookViewId="0">
      <selection sqref="A1:B6"/>
    </sheetView>
  </sheetViews>
  <sheetFormatPr defaultRowHeight="15"/>
  <cols>
    <col min="1" max="1" width="10.7109375" bestFit="1" customWidth="1"/>
    <col min="2" max="2" width="33.42578125" bestFit="1" customWidth="1"/>
  </cols>
  <sheetData>
    <row r="1" spans="1:2" s="2" customFormat="1">
      <c r="A1" s="2" t="s">
        <v>58</v>
      </c>
      <c r="B1" s="2" t="s">
        <v>59</v>
      </c>
    </row>
    <row r="2" spans="1:2">
      <c r="A2" t="s">
        <v>60</v>
      </c>
      <c r="B2">
        <f>COUNTA(Candidate_Data!A2:A100)</f>
        <v>30</v>
      </c>
    </row>
    <row r="3" spans="1:2">
      <c r="A3" t="s">
        <v>61</v>
      </c>
      <c r="B3">
        <f>COUNTIF(Candidate_Data!F:F,"Selected")</f>
        <v>30</v>
      </c>
    </row>
    <row r="4" spans="1:2">
      <c r="A4" t="s">
        <v>62</v>
      </c>
      <c r="B4">
        <f>COUNTIF(Candidate_Data!G:G,"Cleared")</f>
        <v>25</v>
      </c>
    </row>
    <row r="5" spans="1:2">
      <c r="A5" t="s">
        <v>17</v>
      </c>
      <c r="B5">
        <f>COUNTIF(Candidate_Data!H:H,"Offered")</f>
        <v>25</v>
      </c>
    </row>
    <row r="6" spans="1:2">
      <c r="A6" t="s">
        <v>18</v>
      </c>
      <c r="B6">
        <f>COUNTIF(Candidate_Data!I:I,"Joined")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0A2C-57E2-4DAA-BE6C-2EAE3B030243}">
  <dimension ref="A1:B6"/>
  <sheetViews>
    <sheetView workbookViewId="0">
      <selection activeCell="B6" sqref="B6"/>
    </sheetView>
  </sheetViews>
  <sheetFormatPr defaultRowHeight="15"/>
  <cols>
    <col min="1" max="1" width="22.140625" bestFit="1" customWidth="1"/>
  </cols>
  <sheetData>
    <row r="1" spans="1:2" s="2" customFormat="1">
      <c r="A1" s="2" t="s">
        <v>63</v>
      </c>
      <c r="B1" s="2" t="s">
        <v>64</v>
      </c>
    </row>
    <row r="2" spans="1:2">
      <c r="A2" t="s">
        <v>65</v>
      </c>
      <c r="B2">
        <f>COUNTA(Candidate_Data!A2:A100)</f>
        <v>30</v>
      </c>
    </row>
    <row r="3" spans="1:2">
      <c r="A3" t="s">
        <v>66</v>
      </c>
      <c r="B3">
        <f>COUNTIF(Candidate_Data!I:I,"Joined")</f>
        <v>21</v>
      </c>
    </row>
    <row r="4" spans="1:2">
      <c r="A4" t="s">
        <v>67</v>
      </c>
      <c r="B4">
        <f>B3/COUNTIF(Candidate_Data!H:H,"Offered")</f>
        <v>0.84</v>
      </c>
    </row>
    <row r="5" spans="1:2">
      <c r="A5" t="s">
        <v>68</v>
      </c>
      <c r="B5">
        <f>AVERAGE(Candidate_Data!J:J)</f>
        <v>23.966666666666665</v>
      </c>
    </row>
    <row r="6" spans="1:2">
      <c r="A6" t="s">
        <v>69</v>
      </c>
      <c r="B6">
        <f>SUM(Candidate_Data!K:K)/B3</f>
        <v>12323.809523809523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34F5-5EEA-4E8A-AC7B-63F04D2F2D73}">
  <dimension ref="A1:I17"/>
  <sheetViews>
    <sheetView workbookViewId="0">
      <selection activeCell="B1" sqref="B1:C5"/>
    </sheetView>
  </sheetViews>
  <sheetFormatPr defaultRowHeight="15"/>
  <cols>
    <col min="1" max="1" width="16.42578125" bestFit="1" customWidth="1"/>
    <col min="2" max="2" width="10.7109375" bestFit="1" customWidth="1"/>
    <col min="3" max="3" width="16.42578125" bestFit="1" customWidth="1"/>
    <col min="4" max="4" width="13.42578125" bestFit="1" customWidth="1"/>
  </cols>
  <sheetData>
    <row r="1" spans="1:4" s="2" customFormat="1">
      <c r="A1" s="2" t="s">
        <v>3</v>
      </c>
      <c r="B1" s="2" t="s">
        <v>70</v>
      </c>
      <c r="C1" s="2" t="s">
        <v>71</v>
      </c>
      <c r="D1" s="2" t="s">
        <v>72</v>
      </c>
    </row>
    <row r="2" spans="1:4">
      <c r="A2" t="s">
        <v>14</v>
      </c>
      <c r="B2">
        <f>COUNTIFS(Candidate_Data!D:D,"Job Portal",Candidate_Data!I:I,"Joined")</f>
        <v>5</v>
      </c>
      <c r="C2">
        <f>AVERAGEIFS(Candidate_Data!J:J,Candidate_Data!D:D,"Job Portal",Candidate_Data!I:I,"Joined")</f>
        <v>27.2</v>
      </c>
      <c r="D2">
        <f>SUMIFS(Candidate_Data!K:K,Candidate_Data!D:D,"Job Portal",Candidate_Data!I:I,"Joined")/B2</f>
        <v>8240</v>
      </c>
    </row>
    <row r="3" spans="1:4">
      <c r="A3" t="s">
        <v>20</v>
      </c>
      <c r="B3">
        <f>COUNTIFS(Candidate_Data!D:D,"Employee Referral",Candidate_Data!I:I,"Joined")</f>
        <v>8</v>
      </c>
      <c r="C3">
        <f>AVERAGEIFS(Candidate_Data!J:J,Candidate_Data!D:D,"Employee Referral",Candidate_Data!I:I,"Joined")</f>
        <v>16.5</v>
      </c>
      <c r="D3">
        <f>SUMIFS(Candidate_Data!K:K,Candidate_Data!D:D,"Employee Referral",Candidate_Data!I:I,"Joined")/B3</f>
        <v>2512.5</v>
      </c>
    </row>
    <row r="4" spans="1:4">
      <c r="A4" t="s">
        <v>32</v>
      </c>
      <c r="B4">
        <f>COUNTIFS(Candidate_Data!D:D,"Consultancy",Candidate_Data!I:I,"Joined")</f>
        <v>4</v>
      </c>
      <c r="C4">
        <f>AVERAGEIFS(Candidate_Data!J:J,Candidate_Data!D:D,"Consultancy",Candidate_Data!I:I,"Joined")</f>
        <v>41.75</v>
      </c>
      <c r="D4">
        <f>SUMIFS(Candidate_Data!K:K,Candidate_Data!D:D,"Consultancy",Candidate_Data!I:I,"Joined")/B4</f>
        <v>23250</v>
      </c>
    </row>
    <row r="5" spans="1:4">
      <c r="A5" t="s">
        <v>30</v>
      </c>
      <c r="B5">
        <f>COUNTIFS(Candidate_Data!D:D,"LinkedIn",Candidate_Data!I:I,"Joined")</f>
        <v>4</v>
      </c>
      <c r="C5">
        <f>AVERAGEIFS(Candidate_Data!J:J,Candidate_Data!D:D,"LinkedIn",Candidate_Data!I:I,"Joined")</f>
        <v>22.75</v>
      </c>
      <c r="D5">
        <f>SUMIFS(Candidate_Data!K:K,Candidate_Data!D:D,"LinkedIn",Candidate_Data!I:I,"Joined")/B5</f>
        <v>4825</v>
      </c>
    </row>
    <row r="17" spans="9:9">
      <c r="I17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3E63-4622-40B4-A800-B23C58469837}">
  <dimension ref="A1:B7"/>
  <sheetViews>
    <sheetView topLeftCell="A16" workbookViewId="0">
      <selection activeCell="F25" sqref="F25"/>
    </sheetView>
  </sheetViews>
  <sheetFormatPr defaultRowHeight="15"/>
  <cols>
    <col min="1" max="1" width="44.140625" customWidth="1"/>
  </cols>
  <sheetData>
    <row r="1" spans="1:2" ht="36">
      <c r="A1" s="4" t="s">
        <v>74</v>
      </c>
    </row>
    <row r="3" spans="1:2">
      <c r="A3" t="s">
        <v>65</v>
      </c>
      <c r="B3">
        <f>HR_Metrics!B2</f>
        <v>30</v>
      </c>
    </row>
    <row r="4" spans="1:2">
      <c r="A4" t="s">
        <v>75</v>
      </c>
      <c r="B4">
        <f>HR_Metrics!B3</f>
        <v>21</v>
      </c>
    </row>
    <row r="5" spans="1:2">
      <c r="A5" t="s">
        <v>76</v>
      </c>
      <c r="B5">
        <f>HR_Metrics!B4</f>
        <v>0.84</v>
      </c>
    </row>
    <row r="6" spans="1:2">
      <c r="A6" t="s">
        <v>77</v>
      </c>
      <c r="B6">
        <f>HR_Metrics!B5</f>
        <v>23.966666666666665</v>
      </c>
    </row>
    <row r="7" spans="1:2">
      <c r="A7" t="s">
        <v>78</v>
      </c>
      <c r="B7">
        <f>HR_Metrics!B6</f>
        <v>12323.809523809523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BB6C-51C7-4190-A33D-1AAEE0CB5FEB}">
  <dimension ref="A1:A11"/>
  <sheetViews>
    <sheetView tabSelected="1" topLeftCell="A3" workbookViewId="0">
      <selection activeCell="A11" sqref="A11"/>
    </sheetView>
  </sheetViews>
  <sheetFormatPr defaultRowHeight="15"/>
  <cols>
    <col min="1" max="1" width="36.5703125" bestFit="1" customWidth="1"/>
  </cols>
  <sheetData>
    <row r="1" spans="1:1" ht="29.25">
      <c r="A1" s="5" t="s">
        <v>79</v>
      </c>
    </row>
    <row r="3" spans="1:1" ht="57.75">
      <c r="A3" s="1" t="s">
        <v>80</v>
      </c>
    </row>
    <row r="5" spans="1:1" ht="57.75">
      <c r="A5" s="1" t="s">
        <v>81</v>
      </c>
    </row>
    <row r="7" spans="1:1" ht="57.75">
      <c r="A7" s="1" t="s">
        <v>82</v>
      </c>
    </row>
    <row r="9" spans="1:1" ht="57.75">
      <c r="A9" s="1" t="s">
        <v>83</v>
      </c>
    </row>
    <row r="11" spans="1:1" ht="57.75">
      <c r="A11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2025-12-30T04:41:06Z</dcterms:created>
  <dcterms:modified xsi:type="dcterms:W3CDTF">2025-12-30T06:34:24Z</dcterms:modified>
  <cp:category/>
  <cp:contentStatus/>
</cp:coreProperties>
</file>